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Masters Project\Smart_inventory_project\data\client_inputs\"/>
    </mc:Choice>
  </mc:AlternateContent>
  <bookViews>
    <workbookView xWindow="0" yWindow="0" windowWidth="22260" windowHeight="12645" firstSheet="1" activeTab="4"/>
  </bookViews>
  <sheets>
    <sheet name="recipes_bom" sheetId="2" r:id="rId1"/>
    <sheet name="subcomponents_bom" sheetId="3" r:id="rId2"/>
    <sheet name="inventory_snapshot" sheetId="4" r:id="rId3"/>
    <sheet name="purchases_log" sheetId="5" r:id="rId4"/>
    <sheet name="waste_log" sheetId="6" r:id="rId5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6" l="1"/>
  <c r="H3" i="6" s="1"/>
  <c r="G4" i="6"/>
  <c r="G5" i="6"/>
  <c r="G6" i="6"/>
  <c r="G7" i="6"/>
  <c r="G8" i="6"/>
  <c r="H8" i="6" s="1"/>
  <c r="G9" i="6"/>
  <c r="G10" i="6"/>
  <c r="H10" i="6" s="1"/>
  <c r="G11" i="6"/>
  <c r="H11" i="6" s="1"/>
  <c r="G12" i="6"/>
  <c r="G13" i="6"/>
  <c r="G14" i="6"/>
  <c r="G15" i="6"/>
  <c r="G16" i="6"/>
  <c r="G17" i="6"/>
  <c r="G18" i="6"/>
  <c r="G19" i="6"/>
  <c r="H19" i="6" s="1"/>
  <c r="G20" i="6"/>
  <c r="G21" i="6"/>
  <c r="G22" i="6"/>
  <c r="G23" i="6"/>
  <c r="G24" i="6"/>
  <c r="G25" i="6"/>
  <c r="G26" i="6"/>
  <c r="G27" i="6"/>
  <c r="H27" i="6" s="1"/>
  <c r="G28" i="6"/>
  <c r="G29" i="6"/>
  <c r="G30" i="6"/>
  <c r="G31" i="6"/>
  <c r="G32" i="6"/>
  <c r="G33" i="6"/>
  <c r="G34" i="6"/>
  <c r="G35" i="6"/>
  <c r="H35" i="6" s="1"/>
  <c r="G36" i="6"/>
  <c r="G37" i="6"/>
  <c r="G38" i="6"/>
  <c r="G39" i="6"/>
  <c r="G40" i="6"/>
  <c r="G41" i="6"/>
  <c r="G42" i="6"/>
  <c r="G43" i="6"/>
  <c r="H43" i="6" s="1"/>
  <c r="G44" i="6"/>
  <c r="G45" i="6"/>
  <c r="G46" i="6"/>
  <c r="G47" i="6"/>
  <c r="G48" i="6"/>
  <c r="G49" i="6"/>
  <c r="G50" i="6"/>
  <c r="G51" i="6"/>
  <c r="H51" i="6" s="1"/>
  <c r="G52" i="6"/>
  <c r="G53" i="6"/>
  <c r="G54" i="6"/>
  <c r="G55" i="6"/>
  <c r="G56" i="6"/>
  <c r="G57" i="6"/>
  <c r="G58" i="6"/>
  <c r="G59" i="6"/>
  <c r="H59" i="6" s="1"/>
  <c r="G60" i="6"/>
  <c r="G61" i="6"/>
  <c r="G62" i="6"/>
  <c r="G63" i="6"/>
  <c r="G64" i="6"/>
  <c r="G65" i="6"/>
  <c r="G66" i="6"/>
  <c r="G67" i="6"/>
  <c r="H67" i="6" s="1"/>
  <c r="G2" i="6"/>
  <c r="H2" i="6" s="1"/>
  <c r="H4" i="6"/>
  <c r="H5" i="6"/>
  <c r="H6" i="6"/>
  <c r="H7" i="6"/>
  <c r="H9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8" i="6"/>
  <c r="H29" i="6"/>
  <c r="H30" i="6"/>
  <c r="H31" i="6"/>
  <c r="H32" i="6"/>
  <c r="H33" i="6"/>
  <c r="H34" i="6"/>
  <c r="H36" i="6"/>
  <c r="H37" i="6"/>
  <c r="H38" i="6"/>
  <c r="H39" i="6"/>
  <c r="H40" i="6"/>
  <c r="H41" i="6"/>
  <c r="H42" i="6"/>
  <c r="H44" i="6"/>
  <c r="H45" i="6"/>
  <c r="H46" i="6"/>
  <c r="H47" i="6"/>
  <c r="H48" i="6"/>
  <c r="H49" i="6"/>
  <c r="H50" i="6"/>
  <c r="H52" i="6"/>
  <c r="H53" i="6"/>
  <c r="H54" i="6"/>
  <c r="H55" i="6"/>
  <c r="H56" i="6"/>
  <c r="H57" i="6"/>
  <c r="H58" i="6"/>
  <c r="H60" i="6"/>
  <c r="H61" i="6"/>
  <c r="H62" i="6"/>
  <c r="H63" i="6"/>
  <c r="H64" i="6"/>
  <c r="H65" i="6"/>
  <c r="H66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35" i="6" l="1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2" i="6" l="1"/>
</calcChain>
</file>

<file path=xl/sharedStrings.xml><?xml version="1.0" encoding="utf-8"?>
<sst xmlns="http://schemas.openxmlformats.org/spreadsheetml/2006/main" count="462" uniqueCount="67">
  <si>
    <t>item</t>
  </si>
  <si>
    <t>component</t>
  </si>
  <si>
    <t>quantity per unit</t>
  </si>
  <si>
    <t>kg</t>
  </si>
  <si>
    <t>component_type</t>
  </si>
  <si>
    <t>Paneer</t>
  </si>
  <si>
    <t>ingredient</t>
  </si>
  <si>
    <t>Onion</t>
  </si>
  <si>
    <t>Tomato</t>
  </si>
  <si>
    <t>Meal Box Type 1</t>
  </si>
  <si>
    <t>each</t>
  </si>
  <si>
    <t>packaging</t>
  </si>
  <si>
    <t>Strawberry yogurt</t>
  </si>
  <si>
    <t>Yogurt Base</t>
  </si>
  <si>
    <t>Strawberry</t>
  </si>
  <si>
    <t>Yogurt Cup Type A</t>
  </si>
  <si>
    <t>Pepsi Lemonade</t>
  </si>
  <si>
    <t>Lemon Juice Mix</t>
  </si>
  <si>
    <t>Drink Cup Type L</t>
  </si>
  <si>
    <t>Lentil soup</t>
  </si>
  <si>
    <t>Lentils</t>
  </si>
  <si>
    <t>Soup Container Type S</t>
  </si>
  <si>
    <t>Pani Puri 12 Balls</t>
  </si>
  <si>
    <t>Potato Stuffing</t>
  </si>
  <si>
    <t>subcomponent</t>
  </si>
  <si>
    <t>Pani Puri Box Type B</t>
  </si>
  <si>
    <t>Pani Puri 5 Balls</t>
  </si>
  <si>
    <t>qty_per_subcomponent</t>
  </si>
  <si>
    <t>sub_unit_of_measurement</t>
  </si>
  <si>
    <t>ingredient_unit_of_measuresurment</t>
  </si>
  <si>
    <t>Potato</t>
  </si>
  <si>
    <t>Spices Mix</t>
  </si>
  <si>
    <t>snapshot_date</t>
  </si>
  <si>
    <t>on_hand_qty</t>
  </si>
  <si>
    <t>unit_of_measurement</t>
  </si>
  <si>
    <t>purchase_date</t>
  </si>
  <si>
    <t>qty_purchased</t>
  </si>
  <si>
    <t>unit_cost</t>
  </si>
  <si>
    <t>week_end_date</t>
  </si>
  <si>
    <t>waste_qty_units</t>
  </si>
  <si>
    <t>reason</t>
  </si>
  <si>
    <t>estimated_cost</t>
  </si>
  <si>
    <t>leftover</t>
  </si>
  <si>
    <t>Ginger</t>
  </si>
  <si>
    <t>Garlic</t>
  </si>
  <si>
    <t>Green chilli</t>
  </si>
  <si>
    <t>pani puri water</t>
  </si>
  <si>
    <t>Tamarid chutney</t>
  </si>
  <si>
    <t>Corriander</t>
  </si>
  <si>
    <t>Mint</t>
  </si>
  <si>
    <t>Tamarid</t>
  </si>
  <si>
    <t>Dates</t>
  </si>
  <si>
    <t>spices mix</t>
  </si>
  <si>
    <t>Lemon</t>
  </si>
  <si>
    <t xml:space="preserve">Lemon </t>
  </si>
  <si>
    <t>Chickpea</t>
  </si>
  <si>
    <t>Red KidneyBean</t>
  </si>
  <si>
    <t>Unit Cost</t>
  </si>
  <si>
    <t>Water</t>
  </si>
  <si>
    <t>Water Bottle</t>
  </si>
  <si>
    <t xml:space="preserve">packaging </t>
  </si>
  <si>
    <t>Red KidneyBean Plate</t>
  </si>
  <si>
    <t>Paneer Meal Plate</t>
  </si>
  <si>
    <t>Chickpea Meal Plate</t>
  </si>
  <si>
    <t xml:space="preserve">Out of Stock </t>
  </si>
  <si>
    <t>Stock out flag</t>
  </si>
  <si>
    <t>Lost Sales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</si>
</sst>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\$#,##0.00"/>
    <numFmt numFmtId="166" formatCode="m/d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0" fillId="3" borderId="0" xfId="0" applyNumberFormat="1" applyFill="1"/>
    <xf numFmtId="0" fontId="0" fillId="3" borderId="0" xfId="0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A17" sqref="A17"/>
    </sheetView>
  </sheetViews>
  <sheetFormatPr defaultRowHeight="15" x14ac:dyDescent="0.25"/>
  <cols>
    <col min="1" max="1" width="26.28515625" bestFit="1" customWidth="1"/>
    <col min="2" max="2" width="21" bestFit="1" customWidth="1"/>
    <col min="3" max="3" width="16" bestFit="1" customWidth="1"/>
    <col min="4" max="4" width="5.140625" bestFit="1" customWidth="1"/>
    <col min="5" max="5" width="1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62</v>
      </c>
      <c r="B2" t="s">
        <v>5</v>
      </c>
      <c r="C2" s="2">
        <v>0.25</v>
      </c>
      <c r="D2" t="s">
        <v>3</v>
      </c>
      <c r="E2" t="s">
        <v>6</v>
      </c>
    </row>
    <row r="3" spans="1:5" x14ac:dyDescent="0.25">
      <c r="A3" t="s">
        <v>62</v>
      </c>
      <c r="B3" t="s">
        <v>7</v>
      </c>
      <c r="C3" s="2">
        <v>0.1</v>
      </c>
      <c r="D3" t="s">
        <v>3</v>
      </c>
      <c r="E3" t="s">
        <v>6</v>
      </c>
    </row>
    <row r="4" spans="1:5" x14ac:dyDescent="0.25">
      <c r="A4" t="s">
        <v>62</v>
      </c>
      <c r="B4" t="s">
        <v>43</v>
      </c>
      <c r="C4" s="2">
        <v>0.05</v>
      </c>
      <c r="D4" t="s">
        <v>3</v>
      </c>
      <c r="E4" t="s">
        <v>6</v>
      </c>
    </row>
    <row r="5" spans="1:5" x14ac:dyDescent="0.25">
      <c r="A5" t="s">
        <v>62</v>
      </c>
      <c r="B5" t="s">
        <v>45</v>
      </c>
      <c r="C5" s="2">
        <v>0.05</v>
      </c>
      <c r="D5" t="s">
        <v>3</v>
      </c>
      <c r="E5" t="s">
        <v>6</v>
      </c>
    </row>
    <row r="6" spans="1:5" x14ac:dyDescent="0.25">
      <c r="A6" t="s">
        <v>62</v>
      </c>
      <c r="B6" t="s">
        <v>44</v>
      </c>
      <c r="C6" s="2">
        <v>0.05</v>
      </c>
      <c r="D6" t="s">
        <v>3</v>
      </c>
      <c r="E6" t="s">
        <v>6</v>
      </c>
    </row>
    <row r="7" spans="1:5" x14ac:dyDescent="0.25">
      <c r="A7" t="s">
        <v>62</v>
      </c>
      <c r="B7" t="s">
        <v>8</v>
      </c>
      <c r="C7" s="2">
        <v>0.1</v>
      </c>
      <c r="D7" t="s">
        <v>3</v>
      </c>
      <c r="E7" t="s">
        <v>6</v>
      </c>
    </row>
    <row r="8" spans="1:5" x14ac:dyDescent="0.25">
      <c r="A8" t="s">
        <v>62</v>
      </c>
      <c r="B8" t="s">
        <v>9</v>
      </c>
      <c r="C8" s="3">
        <v>1</v>
      </c>
      <c r="D8" t="s">
        <v>10</v>
      </c>
      <c r="E8" t="s">
        <v>11</v>
      </c>
    </row>
    <row r="9" spans="1:5" x14ac:dyDescent="0.25">
      <c r="A9" t="s">
        <v>63</v>
      </c>
      <c r="B9" t="s">
        <v>55</v>
      </c>
      <c r="C9" s="2">
        <v>0.25</v>
      </c>
      <c r="D9" t="s">
        <v>3</v>
      </c>
      <c r="E9" t="s">
        <v>6</v>
      </c>
    </row>
    <row r="10" spans="1:5" x14ac:dyDescent="0.25">
      <c r="A10" t="s">
        <v>63</v>
      </c>
      <c r="B10" t="s">
        <v>7</v>
      </c>
      <c r="C10" s="2">
        <v>0.1</v>
      </c>
      <c r="D10" t="s">
        <v>3</v>
      </c>
      <c r="E10" t="s">
        <v>6</v>
      </c>
    </row>
    <row r="11" spans="1:5" x14ac:dyDescent="0.25">
      <c r="A11" t="s">
        <v>63</v>
      </c>
      <c r="B11" t="s">
        <v>43</v>
      </c>
      <c r="C11" s="2">
        <v>0.05</v>
      </c>
      <c r="D11" t="s">
        <v>3</v>
      </c>
      <c r="E11" t="s">
        <v>6</v>
      </c>
    </row>
    <row r="12" spans="1:5" x14ac:dyDescent="0.25">
      <c r="A12" t="s">
        <v>63</v>
      </c>
      <c r="B12" t="s">
        <v>45</v>
      </c>
      <c r="C12" s="2">
        <v>0.05</v>
      </c>
      <c r="D12" t="s">
        <v>3</v>
      </c>
      <c r="E12" t="s">
        <v>6</v>
      </c>
    </row>
    <row r="13" spans="1:5" x14ac:dyDescent="0.25">
      <c r="A13" t="s">
        <v>63</v>
      </c>
      <c r="B13" t="s">
        <v>44</v>
      </c>
      <c r="C13" s="2">
        <v>0.05</v>
      </c>
      <c r="D13" t="s">
        <v>3</v>
      </c>
      <c r="E13" t="s">
        <v>6</v>
      </c>
    </row>
    <row r="14" spans="1:5" x14ac:dyDescent="0.25">
      <c r="A14" t="s">
        <v>63</v>
      </c>
      <c r="B14" t="s">
        <v>8</v>
      </c>
      <c r="C14" s="2">
        <v>0.1</v>
      </c>
      <c r="D14" t="s">
        <v>3</v>
      </c>
      <c r="E14" t="s">
        <v>6</v>
      </c>
    </row>
    <row r="15" spans="1:5" x14ac:dyDescent="0.25">
      <c r="A15" t="s">
        <v>63</v>
      </c>
      <c r="B15" t="s">
        <v>9</v>
      </c>
      <c r="C15" s="3">
        <v>1</v>
      </c>
      <c r="D15" t="s">
        <v>10</v>
      </c>
      <c r="E15" t="s">
        <v>11</v>
      </c>
    </row>
    <row r="16" spans="1:5" x14ac:dyDescent="0.25">
      <c r="A16" t="s">
        <v>61</v>
      </c>
      <c r="B16" t="s">
        <v>56</v>
      </c>
      <c r="C16" s="2">
        <v>0.25</v>
      </c>
      <c r="D16" t="s">
        <v>3</v>
      </c>
      <c r="E16" t="s">
        <v>6</v>
      </c>
    </row>
    <row r="17" spans="1:5" x14ac:dyDescent="0.25">
      <c r="A17" t="s">
        <v>61</v>
      </c>
      <c r="B17" t="s">
        <v>7</v>
      </c>
      <c r="C17" s="2">
        <v>0.1</v>
      </c>
      <c r="D17" t="s">
        <v>3</v>
      </c>
      <c r="E17" t="s">
        <v>6</v>
      </c>
    </row>
    <row r="18" spans="1:5" x14ac:dyDescent="0.25">
      <c r="A18" t="s">
        <v>61</v>
      </c>
      <c r="B18" t="s">
        <v>43</v>
      </c>
      <c r="C18" s="2">
        <v>0.05</v>
      </c>
      <c r="D18" t="s">
        <v>3</v>
      </c>
      <c r="E18" t="s">
        <v>6</v>
      </c>
    </row>
    <row r="19" spans="1:5" x14ac:dyDescent="0.25">
      <c r="A19" t="s">
        <v>61</v>
      </c>
      <c r="B19" t="s">
        <v>45</v>
      </c>
      <c r="C19" s="2">
        <v>0.05</v>
      </c>
      <c r="D19" t="s">
        <v>3</v>
      </c>
      <c r="E19" t="s">
        <v>6</v>
      </c>
    </row>
    <row r="20" spans="1:5" x14ac:dyDescent="0.25">
      <c r="A20" t="s">
        <v>61</v>
      </c>
      <c r="B20" t="s">
        <v>44</v>
      </c>
      <c r="C20" s="2">
        <v>0.05</v>
      </c>
      <c r="D20" t="s">
        <v>3</v>
      </c>
      <c r="E20" t="s">
        <v>6</v>
      </c>
    </row>
    <row r="21" spans="1:5" x14ac:dyDescent="0.25">
      <c r="A21" t="s">
        <v>61</v>
      </c>
      <c r="B21" t="s">
        <v>8</v>
      </c>
      <c r="C21" s="2">
        <v>0.1</v>
      </c>
      <c r="D21" t="s">
        <v>3</v>
      </c>
      <c r="E21" t="s">
        <v>6</v>
      </c>
    </row>
    <row r="22" spans="1:5" x14ac:dyDescent="0.25">
      <c r="A22" t="s">
        <v>61</v>
      </c>
      <c r="B22" t="s">
        <v>9</v>
      </c>
      <c r="C22" s="3">
        <v>1</v>
      </c>
      <c r="D22" t="s">
        <v>10</v>
      </c>
      <c r="E22" t="s">
        <v>11</v>
      </c>
    </row>
    <row r="23" spans="1:5" x14ac:dyDescent="0.25">
      <c r="A23" t="s">
        <v>12</v>
      </c>
      <c r="B23" t="s">
        <v>13</v>
      </c>
      <c r="C23" s="2">
        <v>0.2</v>
      </c>
      <c r="D23" t="s">
        <v>3</v>
      </c>
      <c r="E23" t="s">
        <v>6</v>
      </c>
    </row>
    <row r="24" spans="1:5" x14ac:dyDescent="0.25">
      <c r="A24" t="s">
        <v>12</v>
      </c>
      <c r="B24" t="s">
        <v>14</v>
      </c>
      <c r="C24" s="2">
        <v>0.05</v>
      </c>
      <c r="D24" t="s">
        <v>3</v>
      </c>
      <c r="E24" t="s">
        <v>6</v>
      </c>
    </row>
    <row r="25" spans="1:5" x14ac:dyDescent="0.25">
      <c r="A25" t="s">
        <v>12</v>
      </c>
      <c r="B25" t="s">
        <v>15</v>
      </c>
      <c r="C25" s="3">
        <v>1</v>
      </c>
      <c r="D25" t="s">
        <v>10</v>
      </c>
      <c r="E25" t="s">
        <v>11</v>
      </c>
    </row>
    <row r="26" spans="1:5" x14ac:dyDescent="0.25">
      <c r="A26" t="s">
        <v>16</v>
      </c>
      <c r="B26" t="s">
        <v>53</v>
      </c>
      <c r="C26" s="2">
        <v>0.25</v>
      </c>
      <c r="D26" t="s">
        <v>3</v>
      </c>
      <c r="E26" t="s">
        <v>6</v>
      </c>
    </row>
    <row r="27" spans="1:5" x14ac:dyDescent="0.25">
      <c r="A27" t="s">
        <v>16</v>
      </c>
      <c r="B27" t="s">
        <v>18</v>
      </c>
      <c r="C27" s="3">
        <v>1</v>
      </c>
      <c r="D27" t="s">
        <v>10</v>
      </c>
      <c r="E27" t="s">
        <v>11</v>
      </c>
    </row>
    <row r="28" spans="1:5" x14ac:dyDescent="0.25">
      <c r="A28" t="s">
        <v>19</v>
      </c>
      <c r="B28" t="s">
        <v>45</v>
      </c>
      <c r="C28" s="2">
        <v>0.05</v>
      </c>
      <c r="D28" t="s">
        <v>3</v>
      </c>
      <c r="E28" t="s">
        <v>6</v>
      </c>
    </row>
    <row r="29" spans="1:5" x14ac:dyDescent="0.25">
      <c r="A29" t="s">
        <v>19</v>
      </c>
      <c r="B29" t="s">
        <v>43</v>
      </c>
      <c r="C29" s="2">
        <v>0.05</v>
      </c>
      <c r="D29" t="s">
        <v>3</v>
      </c>
      <c r="E29" t="s">
        <v>6</v>
      </c>
    </row>
    <row r="30" spans="1:5" x14ac:dyDescent="0.25">
      <c r="A30" t="s">
        <v>19</v>
      </c>
      <c r="B30" t="s">
        <v>44</v>
      </c>
      <c r="C30" s="2">
        <v>0.05</v>
      </c>
      <c r="D30" t="s">
        <v>3</v>
      </c>
      <c r="E30" t="s">
        <v>6</v>
      </c>
    </row>
    <row r="31" spans="1:5" x14ac:dyDescent="0.25">
      <c r="A31" t="s">
        <v>19</v>
      </c>
      <c r="B31" t="s">
        <v>20</v>
      </c>
      <c r="C31" s="2">
        <v>0.2</v>
      </c>
      <c r="D31" t="s">
        <v>3</v>
      </c>
      <c r="E31" t="s">
        <v>6</v>
      </c>
    </row>
    <row r="32" spans="1:5" x14ac:dyDescent="0.25">
      <c r="A32" t="s">
        <v>19</v>
      </c>
      <c r="B32" t="s">
        <v>7</v>
      </c>
      <c r="C32" s="2">
        <v>0.08</v>
      </c>
      <c r="D32" t="s">
        <v>3</v>
      </c>
      <c r="E32" t="s">
        <v>6</v>
      </c>
    </row>
    <row r="33" spans="1:5" x14ac:dyDescent="0.25">
      <c r="A33" t="s">
        <v>19</v>
      </c>
      <c r="B33" t="s">
        <v>8</v>
      </c>
      <c r="C33" s="2">
        <v>0.08</v>
      </c>
      <c r="D33" t="s">
        <v>3</v>
      </c>
      <c r="E33" t="s">
        <v>6</v>
      </c>
    </row>
    <row r="34" spans="1:5" x14ac:dyDescent="0.25">
      <c r="A34" t="s">
        <v>19</v>
      </c>
      <c r="B34" t="s">
        <v>21</v>
      </c>
      <c r="C34" s="3">
        <v>1</v>
      </c>
      <c r="D34" t="s">
        <v>10</v>
      </c>
      <c r="E34" t="s">
        <v>11</v>
      </c>
    </row>
    <row r="35" spans="1:5" x14ac:dyDescent="0.25">
      <c r="A35" t="s">
        <v>22</v>
      </c>
      <c r="B35" t="s">
        <v>23</v>
      </c>
      <c r="C35" s="2">
        <v>0.15</v>
      </c>
      <c r="D35" t="s">
        <v>3</v>
      </c>
      <c r="E35" t="s">
        <v>24</v>
      </c>
    </row>
    <row r="36" spans="1:5" x14ac:dyDescent="0.25">
      <c r="A36" t="s">
        <v>22</v>
      </c>
      <c r="B36" t="s">
        <v>25</v>
      </c>
      <c r="C36" s="3">
        <v>1</v>
      </c>
      <c r="D36" t="s">
        <v>10</v>
      </c>
      <c r="E36" t="s">
        <v>11</v>
      </c>
    </row>
    <row r="37" spans="1:5" x14ac:dyDescent="0.25">
      <c r="A37" t="s">
        <v>26</v>
      </c>
      <c r="B37" t="s">
        <v>23</v>
      </c>
      <c r="C37" s="2">
        <v>0.08</v>
      </c>
      <c r="D37" t="s">
        <v>3</v>
      </c>
      <c r="E37" t="s">
        <v>24</v>
      </c>
    </row>
    <row r="38" spans="1:5" x14ac:dyDescent="0.25">
      <c r="A38" t="s">
        <v>26</v>
      </c>
      <c r="B38" t="s">
        <v>46</v>
      </c>
      <c r="C38" s="2">
        <v>4</v>
      </c>
      <c r="D38" t="s">
        <v>3</v>
      </c>
      <c r="E38" t="s">
        <v>24</v>
      </c>
    </row>
    <row r="39" spans="1:5" x14ac:dyDescent="0.25">
      <c r="A39" t="s">
        <v>26</v>
      </c>
      <c r="B39" t="s">
        <v>47</v>
      </c>
      <c r="C39" s="2">
        <v>0.5</v>
      </c>
      <c r="D39" t="s">
        <v>3</v>
      </c>
      <c r="E39" t="s">
        <v>24</v>
      </c>
    </row>
    <row r="40" spans="1:5" x14ac:dyDescent="0.25">
      <c r="A40" t="s">
        <v>58</v>
      </c>
      <c r="B40" t="s">
        <v>59</v>
      </c>
      <c r="C40" s="2">
        <v>1</v>
      </c>
      <c r="D40" t="s">
        <v>10</v>
      </c>
      <c r="E40" t="s">
        <v>60</v>
      </c>
    </row>
  </sheetData>
  <dataValidations count="2">
    <dataValidation type="list" sqref="E2:E39">
      <formula1>"ingredient,packaging,subcomponent"</formula1>
    </dataValidation>
    <dataValidation type="list" sqref="D2:D39">
      <formula1>"kg,each"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23" sqref="C23"/>
    </sheetView>
  </sheetViews>
  <sheetFormatPr defaultRowHeight="15" x14ac:dyDescent="0.25"/>
  <cols>
    <col min="1" max="1" width="15.85546875" bestFit="1" customWidth="1"/>
    <col min="2" max="2" width="11.140625" bestFit="1" customWidth="1"/>
    <col min="3" max="3" width="22.5703125" bestFit="1" customWidth="1"/>
    <col min="4" max="4" width="25.5703125" bestFit="1" customWidth="1"/>
    <col min="5" max="5" width="34.7109375" bestFit="1" customWidth="1"/>
  </cols>
  <sheetData>
    <row r="1" spans="1:5" x14ac:dyDescent="0.25">
      <c r="A1" s="1" t="s">
        <v>24</v>
      </c>
      <c r="B1" s="1" t="s">
        <v>6</v>
      </c>
      <c r="C1" s="1" t="s">
        <v>27</v>
      </c>
      <c r="D1" s="1" t="s">
        <v>28</v>
      </c>
      <c r="E1" s="1" t="s">
        <v>29</v>
      </c>
    </row>
    <row r="2" spans="1:5" x14ac:dyDescent="0.25">
      <c r="A2" t="s">
        <v>23</v>
      </c>
      <c r="B2" t="s">
        <v>30</v>
      </c>
      <c r="C2" s="2">
        <v>0.7</v>
      </c>
      <c r="D2" t="s">
        <v>3</v>
      </c>
      <c r="E2" t="s">
        <v>3</v>
      </c>
    </row>
    <row r="3" spans="1:5" x14ac:dyDescent="0.25">
      <c r="A3" t="s">
        <v>23</v>
      </c>
      <c r="B3" t="s">
        <v>45</v>
      </c>
      <c r="C3" s="2">
        <v>0.05</v>
      </c>
      <c r="D3" t="s">
        <v>3</v>
      </c>
      <c r="E3" t="s">
        <v>3</v>
      </c>
    </row>
    <row r="4" spans="1:5" x14ac:dyDescent="0.25">
      <c r="A4" t="s">
        <v>23</v>
      </c>
      <c r="B4" t="s">
        <v>48</v>
      </c>
      <c r="C4" s="2">
        <v>0.05</v>
      </c>
      <c r="D4" t="s">
        <v>3</v>
      </c>
      <c r="E4" t="s">
        <v>3</v>
      </c>
    </row>
    <row r="5" spans="1:5" x14ac:dyDescent="0.25">
      <c r="A5" t="s">
        <v>23</v>
      </c>
      <c r="B5" t="s">
        <v>7</v>
      </c>
      <c r="C5" s="2">
        <v>0.2</v>
      </c>
      <c r="D5" t="s">
        <v>3</v>
      </c>
      <c r="E5" t="s">
        <v>3</v>
      </c>
    </row>
    <row r="6" spans="1:5" x14ac:dyDescent="0.25">
      <c r="A6" t="s">
        <v>23</v>
      </c>
      <c r="B6" t="s">
        <v>31</v>
      </c>
      <c r="C6" s="2">
        <v>0.1</v>
      </c>
      <c r="D6" t="s">
        <v>3</v>
      </c>
      <c r="E6" t="s">
        <v>3</v>
      </c>
    </row>
    <row r="7" spans="1:5" x14ac:dyDescent="0.25">
      <c r="A7" t="s">
        <v>46</v>
      </c>
      <c r="B7" t="s">
        <v>49</v>
      </c>
      <c r="C7" s="2">
        <v>0.5</v>
      </c>
      <c r="D7" t="s">
        <v>3</v>
      </c>
      <c r="E7" t="s">
        <v>3</v>
      </c>
    </row>
    <row r="8" spans="1:5" x14ac:dyDescent="0.25">
      <c r="A8" t="s">
        <v>46</v>
      </c>
      <c r="B8" t="s">
        <v>45</v>
      </c>
      <c r="C8" s="2">
        <v>0.5</v>
      </c>
      <c r="D8" t="s">
        <v>3</v>
      </c>
      <c r="E8" t="s">
        <v>3</v>
      </c>
    </row>
    <row r="9" spans="1:5" x14ac:dyDescent="0.25">
      <c r="A9" t="s">
        <v>46</v>
      </c>
      <c r="B9" t="s">
        <v>48</v>
      </c>
      <c r="C9" s="2">
        <v>0.5</v>
      </c>
      <c r="D9" t="s">
        <v>3</v>
      </c>
      <c r="E9" t="s">
        <v>3</v>
      </c>
    </row>
    <row r="10" spans="1:5" x14ac:dyDescent="0.25">
      <c r="A10" t="s">
        <v>47</v>
      </c>
      <c r="B10" t="s">
        <v>50</v>
      </c>
      <c r="C10" s="2">
        <v>2</v>
      </c>
      <c r="D10" t="s">
        <v>3</v>
      </c>
      <c r="E10" t="s">
        <v>3</v>
      </c>
    </row>
    <row r="11" spans="1:5" x14ac:dyDescent="0.25">
      <c r="A11" t="s">
        <v>47</v>
      </c>
      <c r="B11" t="s">
        <v>51</v>
      </c>
      <c r="C11" s="2">
        <v>4</v>
      </c>
      <c r="D11" t="s">
        <v>3</v>
      </c>
      <c r="E11" t="s">
        <v>3</v>
      </c>
    </row>
    <row r="12" spans="1:5" x14ac:dyDescent="0.25">
      <c r="A12" t="s">
        <v>47</v>
      </c>
      <c r="B12" t="s">
        <v>52</v>
      </c>
      <c r="C12" s="2">
        <v>0.1</v>
      </c>
      <c r="D12" t="s">
        <v>3</v>
      </c>
      <c r="E12" t="s">
        <v>3</v>
      </c>
    </row>
  </sheetData>
  <dataValidations count="2">
    <dataValidation type="list" sqref="D2:E12">
      <formula1>"kg"</formula1>
    </dataValidation>
    <dataValidation type="list" sqref="D2:D12">
      <formula1>"kg,each"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10" workbookViewId="0">
      <selection activeCell="H11" sqref="H11"/>
    </sheetView>
  </sheetViews>
  <sheetFormatPr defaultRowHeight="15" x14ac:dyDescent="0.25"/>
  <cols>
    <col min="1" max="1" width="14.140625" bestFit="1" customWidth="1"/>
    <col min="2" max="2" width="21" bestFit="1" customWidth="1"/>
    <col min="3" max="3" width="12.5703125" bestFit="1" customWidth="1"/>
    <col min="4" max="4" width="21.140625" bestFit="1" customWidth="1"/>
    <col min="5" max="5" width="16.28515625" bestFit="1" customWidth="1"/>
  </cols>
  <sheetData>
    <row r="1" spans="1:5" x14ac:dyDescent="0.25">
      <c r="A1" s="1" t="s">
        <v>32</v>
      </c>
      <c r="B1" s="1" t="s">
        <v>1</v>
      </c>
      <c r="C1" s="1" t="s">
        <v>33</v>
      </c>
      <c r="D1" s="1" t="s">
        <v>34</v>
      </c>
      <c r="E1" s="1" t="s">
        <v>4</v>
      </c>
    </row>
    <row r="2" spans="1:5" x14ac:dyDescent="0.25">
      <c r="A2" s="4">
        <v>46122</v>
      </c>
      <c r="B2" t="s">
        <v>5</v>
      </c>
      <c r="C2" s="3">
        <v>20</v>
      </c>
      <c r="D2" t="s">
        <v>3</v>
      </c>
      <c r="E2" t="s">
        <v>6</v>
      </c>
    </row>
    <row r="3" spans="1:5" x14ac:dyDescent="0.25">
      <c r="A3" s="4">
        <v>46122</v>
      </c>
      <c r="B3" t="s">
        <v>55</v>
      </c>
      <c r="C3" s="3">
        <v>20</v>
      </c>
      <c r="D3" t="s">
        <v>3</v>
      </c>
      <c r="E3" t="s">
        <v>6</v>
      </c>
    </row>
    <row r="4" spans="1:5" x14ac:dyDescent="0.25">
      <c r="A4" s="4">
        <v>46122</v>
      </c>
      <c r="B4" t="s">
        <v>56</v>
      </c>
      <c r="C4" s="3">
        <v>20</v>
      </c>
      <c r="D4" t="s">
        <v>3</v>
      </c>
      <c r="E4" t="s">
        <v>6</v>
      </c>
    </row>
    <row r="5" spans="1:5" x14ac:dyDescent="0.25">
      <c r="A5" s="4">
        <v>46122</v>
      </c>
      <c r="B5" t="s">
        <v>45</v>
      </c>
      <c r="C5" s="3">
        <v>5</v>
      </c>
      <c r="D5" t="s">
        <v>3</v>
      </c>
      <c r="E5" t="s">
        <v>6</v>
      </c>
    </row>
    <row r="6" spans="1:5" x14ac:dyDescent="0.25">
      <c r="A6" s="4">
        <v>46122</v>
      </c>
      <c r="B6" t="s">
        <v>43</v>
      </c>
      <c r="C6" s="3">
        <v>5</v>
      </c>
      <c r="D6" t="s">
        <v>3</v>
      </c>
      <c r="E6" t="s">
        <v>6</v>
      </c>
    </row>
    <row r="7" spans="1:5" x14ac:dyDescent="0.25">
      <c r="A7" s="4">
        <v>46122</v>
      </c>
      <c r="B7" t="s">
        <v>48</v>
      </c>
      <c r="C7" s="3">
        <v>4</v>
      </c>
      <c r="D7" t="s">
        <v>3</v>
      </c>
      <c r="E7" t="s">
        <v>6</v>
      </c>
    </row>
    <row r="8" spans="1:5" x14ac:dyDescent="0.25">
      <c r="A8" s="4">
        <v>46122</v>
      </c>
      <c r="B8" t="s">
        <v>44</v>
      </c>
      <c r="C8" s="3">
        <v>10</v>
      </c>
      <c r="D8" t="s">
        <v>3</v>
      </c>
      <c r="E8" t="s">
        <v>6</v>
      </c>
    </row>
    <row r="9" spans="1:5" x14ac:dyDescent="0.25">
      <c r="A9" s="4">
        <v>46122</v>
      </c>
      <c r="B9" t="s">
        <v>50</v>
      </c>
      <c r="C9" s="3">
        <v>10</v>
      </c>
      <c r="D9" t="s">
        <v>3</v>
      </c>
      <c r="E9" t="s">
        <v>6</v>
      </c>
    </row>
    <row r="10" spans="1:5" x14ac:dyDescent="0.25">
      <c r="A10" s="4">
        <v>46122</v>
      </c>
      <c r="B10" t="s">
        <v>51</v>
      </c>
      <c r="C10" s="3">
        <v>20</v>
      </c>
      <c r="D10" t="s">
        <v>3</v>
      </c>
      <c r="E10" t="s">
        <v>6</v>
      </c>
    </row>
    <row r="11" spans="1:5" x14ac:dyDescent="0.25">
      <c r="A11" s="4">
        <v>46122</v>
      </c>
      <c r="B11" t="s">
        <v>49</v>
      </c>
      <c r="C11" s="3">
        <v>5</v>
      </c>
      <c r="D11" t="s">
        <v>3</v>
      </c>
      <c r="E11" t="s">
        <v>6</v>
      </c>
    </row>
    <row r="12" spans="1:5" x14ac:dyDescent="0.25">
      <c r="A12" s="4">
        <v>46122</v>
      </c>
      <c r="B12" t="s">
        <v>7</v>
      </c>
      <c r="C12" s="3">
        <v>25</v>
      </c>
      <c r="D12" t="s">
        <v>3</v>
      </c>
      <c r="E12" t="s">
        <v>6</v>
      </c>
    </row>
    <row r="13" spans="1:5" x14ac:dyDescent="0.25">
      <c r="A13" s="4">
        <v>46122</v>
      </c>
      <c r="B13" t="s">
        <v>8</v>
      </c>
      <c r="C13" s="3">
        <v>30</v>
      </c>
      <c r="D13" t="s">
        <v>3</v>
      </c>
      <c r="E13" t="s">
        <v>6</v>
      </c>
    </row>
    <row r="14" spans="1:5" x14ac:dyDescent="0.25">
      <c r="A14" s="4">
        <v>46122</v>
      </c>
      <c r="B14" t="s">
        <v>13</v>
      </c>
      <c r="C14" s="3">
        <v>15</v>
      </c>
      <c r="D14" t="s">
        <v>3</v>
      </c>
      <c r="E14" t="s">
        <v>6</v>
      </c>
    </row>
    <row r="15" spans="1:5" x14ac:dyDescent="0.25">
      <c r="A15" s="4">
        <v>46122</v>
      </c>
      <c r="B15" t="s">
        <v>14</v>
      </c>
      <c r="C15" s="3">
        <v>10</v>
      </c>
      <c r="D15" t="s">
        <v>3</v>
      </c>
      <c r="E15" t="s">
        <v>6</v>
      </c>
    </row>
    <row r="16" spans="1:5" x14ac:dyDescent="0.25">
      <c r="A16" s="4">
        <v>46122</v>
      </c>
      <c r="B16" t="s">
        <v>54</v>
      </c>
      <c r="C16" s="3">
        <v>6</v>
      </c>
      <c r="D16" t="s">
        <v>3</v>
      </c>
      <c r="E16" t="s">
        <v>6</v>
      </c>
    </row>
    <row r="17" spans="1:5" x14ac:dyDescent="0.25">
      <c r="A17" s="4">
        <v>46122</v>
      </c>
      <c r="B17" t="s">
        <v>20</v>
      </c>
      <c r="C17" s="3">
        <v>25</v>
      </c>
      <c r="D17" t="s">
        <v>3</v>
      </c>
      <c r="E17" t="s">
        <v>6</v>
      </c>
    </row>
    <row r="18" spans="1:5" x14ac:dyDescent="0.25">
      <c r="A18" s="4">
        <v>46122</v>
      </c>
      <c r="B18" t="s">
        <v>30</v>
      </c>
      <c r="C18" s="3">
        <v>20</v>
      </c>
      <c r="D18" t="s">
        <v>3</v>
      </c>
      <c r="E18" t="s">
        <v>6</v>
      </c>
    </row>
    <row r="19" spans="1:5" x14ac:dyDescent="0.25">
      <c r="A19" s="4">
        <v>46122</v>
      </c>
      <c r="B19" t="s">
        <v>31</v>
      </c>
      <c r="C19" s="3">
        <v>5</v>
      </c>
      <c r="D19" t="s">
        <v>3</v>
      </c>
      <c r="E19" t="s">
        <v>6</v>
      </c>
    </row>
    <row r="20" spans="1:5" x14ac:dyDescent="0.25">
      <c r="A20" s="4">
        <v>46087</v>
      </c>
      <c r="B20" t="s">
        <v>9</v>
      </c>
      <c r="C20" s="3">
        <v>500</v>
      </c>
      <c r="D20" t="s">
        <v>10</v>
      </c>
      <c r="E20" t="s">
        <v>11</v>
      </c>
    </row>
    <row r="21" spans="1:5" x14ac:dyDescent="0.25">
      <c r="A21" s="4">
        <v>46087</v>
      </c>
      <c r="B21" t="s">
        <v>15</v>
      </c>
      <c r="C21" s="3">
        <v>300</v>
      </c>
      <c r="D21" t="s">
        <v>10</v>
      </c>
      <c r="E21" t="s">
        <v>11</v>
      </c>
    </row>
    <row r="22" spans="1:5" x14ac:dyDescent="0.25">
      <c r="A22" s="4">
        <v>46087</v>
      </c>
      <c r="B22" t="s">
        <v>18</v>
      </c>
      <c r="C22" s="3">
        <v>180</v>
      </c>
      <c r="D22" t="s">
        <v>10</v>
      </c>
      <c r="E22" t="s">
        <v>11</v>
      </c>
    </row>
    <row r="23" spans="1:5" x14ac:dyDescent="0.25">
      <c r="A23" s="4">
        <v>46087</v>
      </c>
      <c r="B23" t="s">
        <v>21</v>
      </c>
      <c r="C23" s="3">
        <v>300</v>
      </c>
      <c r="D23" t="s">
        <v>10</v>
      </c>
      <c r="E23" t="s">
        <v>11</v>
      </c>
    </row>
    <row r="24" spans="1:5" x14ac:dyDescent="0.25">
      <c r="A24" s="4">
        <v>46087</v>
      </c>
      <c r="B24" t="s">
        <v>25</v>
      </c>
      <c r="C24" s="3">
        <v>300</v>
      </c>
      <c r="D24" t="s">
        <v>10</v>
      </c>
      <c r="E24" t="s">
        <v>11</v>
      </c>
    </row>
    <row r="25" spans="1:5" x14ac:dyDescent="0.25">
      <c r="A25" s="4">
        <v>46087</v>
      </c>
      <c r="B25" t="s">
        <v>59</v>
      </c>
      <c r="C25" s="3">
        <v>100</v>
      </c>
      <c r="D25" t="s">
        <v>10</v>
      </c>
      <c r="E25" t="s">
        <v>11</v>
      </c>
    </row>
  </sheetData>
  <dataValidations count="2">
    <dataValidation type="list" sqref="E2:E25">
      <formula1>"ingredient,packaging"</formula1>
    </dataValidation>
    <dataValidation type="list" sqref="D2:D25">
      <formula1>"kg,each"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A3" sqref="A3"/>
    </sheetView>
  </sheetViews>
  <sheetFormatPr defaultRowHeight="15" x14ac:dyDescent="0.25"/>
  <cols>
    <col min="1" max="1" width="14.140625" bestFit="1" customWidth="1"/>
    <col min="2" max="2" width="21" bestFit="1" customWidth="1"/>
    <col min="3" max="3" width="14.140625" bestFit="1" customWidth="1"/>
    <col min="4" max="4" width="21.140625" bestFit="1" customWidth="1"/>
  </cols>
  <sheetData>
    <row r="1" spans="1:5" x14ac:dyDescent="0.25">
      <c r="A1" s="1" t="s">
        <v>35</v>
      </c>
      <c r="B1" s="1" t="s">
        <v>1</v>
      </c>
      <c r="C1" s="1" t="s">
        <v>36</v>
      </c>
      <c r="D1" s="1" t="s">
        <v>34</v>
      </c>
      <c r="E1" s="1" t="s">
        <v>37</v>
      </c>
    </row>
    <row r="2" spans="1:5" x14ac:dyDescent="0.25">
      <c r="A2" s="4">
        <v>46028</v>
      </c>
      <c r="B2" t="s">
        <v>5</v>
      </c>
      <c r="C2" s="3">
        <v>12</v>
      </c>
      <c r="D2" t="s">
        <v>3</v>
      </c>
      <c r="E2" s="5">
        <v>8</v>
      </c>
    </row>
    <row r="3" spans="1:5" x14ac:dyDescent="0.25">
      <c r="A3" s="4">
        <v>46028</v>
      </c>
      <c r="B3" t="s">
        <v>55</v>
      </c>
      <c r="C3" s="3">
        <v>12</v>
      </c>
      <c r="D3" t="s">
        <v>3</v>
      </c>
      <c r="E3" s="5">
        <v>6</v>
      </c>
    </row>
    <row r="4" spans="1:5" x14ac:dyDescent="0.25">
      <c r="A4" s="4">
        <v>46028</v>
      </c>
      <c r="B4" t="s">
        <v>56</v>
      </c>
      <c r="C4" s="3">
        <v>12</v>
      </c>
      <c r="D4" t="s">
        <v>3</v>
      </c>
      <c r="E4" s="5">
        <v>6</v>
      </c>
    </row>
    <row r="5" spans="1:5" x14ac:dyDescent="0.25">
      <c r="A5" s="4">
        <v>46028</v>
      </c>
      <c r="B5" t="s">
        <v>7</v>
      </c>
      <c r="C5" s="3">
        <v>25</v>
      </c>
      <c r="D5" t="s">
        <v>3</v>
      </c>
      <c r="E5" s="5">
        <v>5</v>
      </c>
    </row>
    <row r="6" spans="1:5" x14ac:dyDescent="0.25">
      <c r="A6" s="4">
        <v>46028</v>
      </c>
      <c r="B6" t="s">
        <v>8</v>
      </c>
      <c r="C6" s="3">
        <v>20</v>
      </c>
      <c r="D6" t="s">
        <v>3</v>
      </c>
      <c r="E6" s="5">
        <v>4</v>
      </c>
    </row>
    <row r="7" spans="1:5" x14ac:dyDescent="0.25">
      <c r="A7" s="4">
        <v>46028</v>
      </c>
      <c r="B7" t="s">
        <v>13</v>
      </c>
      <c r="C7" s="3">
        <v>10</v>
      </c>
      <c r="D7" t="s">
        <v>3</v>
      </c>
      <c r="E7" s="5">
        <v>5</v>
      </c>
    </row>
    <row r="8" spans="1:5" x14ac:dyDescent="0.25">
      <c r="A8" s="4">
        <v>46028</v>
      </c>
      <c r="B8" t="s">
        <v>14</v>
      </c>
      <c r="C8" s="3">
        <v>8</v>
      </c>
      <c r="D8" t="s">
        <v>3</v>
      </c>
      <c r="E8" s="5">
        <v>2.5</v>
      </c>
    </row>
    <row r="9" spans="1:5" x14ac:dyDescent="0.25">
      <c r="A9" s="4">
        <v>46028</v>
      </c>
      <c r="B9" t="s">
        <v>17</v>
      </c>
      <c r="C9" s="3">
        <v>10</v>
      </c>
      <c r="D9" t="s">
        <v>3</v>
      </c>
      <c r="E9" s="5">
        <v>3.5</v>
      </c>
    </row>
    <row r="10" spans="1:5" x14ac:dyDescent="0.25">
      <c r="A10" s="4">
        <v>46028</v>
      </c>
      <c r="B10" t="s">
        <v>20</v>
      </c>
      <c r="C10" s="3">
        <v>15</v>
      </c>
      <c r="D10" t="s">
        <v>3</v>
      </c>
      <c r="E10" s="5">
        <v>2</v>
      </c>
    </row>
    <row r="11" spans="1:5" x14ac:dyDescent="0.25">
      <c r="A11" s="4">
        <v>46028</v>
      </c>
      <c r="B11" t="s">
        <v>30</v>
      </c>
      <c r="C11" s="3">
        <v>20</v>
      </c>
      <c r="D11" t="s">
        <v>3</v>
      </c>
      <c r="E11" s="5">
        <v>1.5</v>
      </c>
    </row>
    <row r="12" spans="1:5" x14ac:dyDescent="0.25">
      <c r="A12" s="4">
        <v>46029</v>
      </c>
      <c r="B12" t="s">
        <v>9</v>
      </c>
      <c r="C12" s="3">
        <v>300</v>
      </c>
      <c r="D12" t="s">
        <v>10</v>
      </c>
      <c r="E12" s="5">
        <v>0.25</v>
      </c>
    </row>
    <row r="13" spans="1:5" x14ac:dyDescent="0.25">
      <c r="A13" s="4">
        <v>46029</v>
      </c>
      <c r="B13" t="s">
        <v>15</v>
      </c>
      <c r="C13" s="3">
        <v>500</v>
      </c>
      <c r="D13" t="s">
        <v>10</v>
      </c>
      <c r="E13" s="5">
        <v>0.1</v>
      </c>
    </row>
    <row r="14" spans="1:5" x14ac:dyDescent="0.25">
      <c r="A14" s="4">
        <v>46029</v>
      </c>
      <c r="B14" t="s">
        <v>18</v>
      </c>
      <c r="C14" s="3">
        <v>400</v>
      </c>
      <c r="D14" t="s">
        <v>10</v>
      </c>
      <c r="E14" s="5">
        <v>0.15</v>
      </c>
    </row>
    <row r="15" spans="1:5" x14ac:dyDescent="0.25">
      <c r="A15" s="4">
        <v>46029</v>
      </c>
      <c r="B15" t="s">
        <v>21</v>
      </c>
      <c r="C15" s="3">
        <v>300</v>
      </c>
      <c r="D15" t="s">
        <v>10</v>
      </c>
      <c r="E15" s="5">
        <v>0.2</v>
      </c>
    </row>
    <row r="16" spans="1:5" x14ac:dyDescent="0.25">
      <c r="A16" s="4">
        <v>46029</v>
      </c>
      <c r="B16" t="s">
        <v>25</v>
      </c>
      <c r="C16" s="3">
        <v>250</v>
      </c>
      <c r="D16" t="s">
        <v>10</v>
      </c>
      <c r="E16" s="5">
        <v>0.18</v>
      </c>
    </row>
  </sheetData>
  <dataValidations count="1">
    <dataValidation type="list" sqref="D2:D16">
      <formula1>"kg,each"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abSelected="1" workbookViewId="0">
      <selection activeCell="J14" sqref="J14"/>
    </sheetView>
  </sheetViews>
  <sheetFormatPr defaultRowHeight="15" x14ac:dyDescent="0.25"/>
  <cols>
    <col min="1" max="1" width="15.42578125" style="7" bestFit="1" customWidth="1"/>
    <col min="2" max="2" width="20.7109375" bestFit="1" customWidth="1"/>
    <col min="3" max="3" width="15.7109375" bestFit="1" customWidth="1"/>
    <col min="4" max="4" width="9.140625" bestFit="1" customWidth="1"/>
    <col min="5" max="5" width="12.140625" bestFit="1" customWidth="1"/>
    <col min="6" max="6" width="14.7109375" bestFit="1" customWidth="1"/>
    <col min="7" max="7" width="12.85546875" bestFit="1" customWidth="1"/>
    <col min="8" max="8" width="18" bestFit="1" customWidth="1"/>
  </cols>
  <sheetData>
    <row r="1" spans="1:8" x14ac:dyDescent="0.25">
      <c r="A1" s="6" t="s">
        <v>38</v>
      </c>
      <c r="B1" s="1" t="s">
        <v>0</v>
      </c>
      <c r="C1" s="1" t="s">
        <v>39</v>
      </c>
      <c r="D1" s="1" t="s">
        <v>57</v>
      </c>
      <c r="E1" s="1" t="s">
        <v>40</v>
      </c>
      <c r="F1" s="1" t="s">
        <v>41</v>
      </c>
      <c r="G1" s="10" t="s">
        <v>65</v>
      </c>
      <c r="H1" s="10" t="s">
        <v>66</v>
      </c>
    </row>
    <row r="2" spans="1:8" x14ac:dyDescent="0.25">
      <c r="A2" s="7">
        <v>46026</v>
      </c>
      <c r="B2" t="s">
        <v>63</v>
      </c>
      <c r="C2" s="3">
        <v>3</v>
      </c>
      <c r="D2" s="2">
        <v>8.99</v>
      </c>
      <c r="E2" t="s">
        <v>42</v>
      </c>
      <c r="F2" s="5">
        <f>C2*D2</f>
        <v>26.97</v>
      </c>
      <c r="G2">
        <f>IF(E2="leftover",0,1)</f>
        <v>0</v>
      </c>
      <c r="H2">
        <f>G2*F2</f>
        <v>0</v>
      </c>
    </row>
    <row r="3" spans="1:8" x14ac:dyDescent="0.25">
      <c r="A3" s="7">
        <v>46026</v>
      </c>
      <c r="B3" t="s">
        <v>61</v>
      </c>
      <c r="C3" s="3">
        <v>4</v>
      </c>
      <c r="D3" s="2">
        <v>8.99</v>
      </c>
      <c r="E3" t="s">
        <v>42</v>
      </c>
      <c r="F3" s="5">
        <f t="shared" ref="F3:F67" si="0">C3*D3</f>
        <v>35.96</v>
      </c>
      <c r="G3">
        <f t="shared" ref="G3:G66" si="1">IF(E3="leftover",0,1)</f>
        <v>0</v>
      </c>
      <c r="H3">
        <f t="shared" ref="H3:H66" si="2">G3*F3</f>
        <v>0</v>
      </c>
    </row>
    <row r="4" spans="1:8" x14ac:dyDescent="0.25">
      <c r="A4" s="7">
        <v>46026</v>
      </c>
      <c r="B4" t="s">
        <v>12</v>
      </c>
      <c r="C4" s="3">
        <v>4</v>
      </c>
      <c r="D4" s="2">
        <v>4.99</v>
      </c>
      <c r="E4" t="s">
        <v>42</v>
      </c>
      <c r="F4" s="5">
        <f t="shared" si="0"/>
        <v>19.96</v>
      </c>
      <c r="G4">
        <f t="shared" si="1"/>
        <v>0</v>
      </c>
      <c r="H4">
        <f t="shared" si="2"/>
        <v>0</v>
      </c>
    </row>
    <row r="5" spans="1:8" x14ac:dyDescent="0.25">
      <c r="A5" s="7">
        <v>46026</v>
      </c>
      <c r="B5" t="s">
        <v>19</v>
      </c>
      <c r="C5" s="3">
        <v>5</v>
      </c>
      <c r="D5" s="2">
        <v>7.99</v>
      </c>
      <c r="E5" t="s">
        <v>42</v>
      </c>
      <c r="F5" s="5">
        <f t="shared" si="0"/>
        <v>39.950000000000003</v>
      </c>
      <c r="G5">
        <f t="shared" si="1"/>
        <v>0</v>
      </c>
      <c r="H5">
        <f t="shared" si="2"/>
        <v>0</v>
      </c>
    </row>
    <row r="6" spans="1:8" x14ac:dyDescent="0.25">
      <c r="A6" s="7">
        <v>46026</v>
      </c>
      <c r="B6" t="s">
        <v>22</v>
      </c>
      <c r="C6" s="3">
        <v>1</v>
      </c>
      <c r="D6" s="2">
        <v>6</v>
      </c>
      <c r="E6" t="s">
        <v>42</v>
      </c>
      <c r="F6" s="5">
        <f t="shared" si="0"/>
        <v>6</v>
      </c>
      <c r="G6">
        <f t="shared" si="1"/>
        <v>0</v>
      </c>
      <c r="H6">
        <f t="shared" si="2"/>
        <v>0</v>
      </c>
    </row>
    <row r="7" spans="1:8" x14ac:dyDescent="0.25">
      <c r="A7" s="7">
        <v>46033</v>
      </c>
      <c r="B7" t="s">
        <v>62</v>
      </c>
      <c r="C7" s="3">
        <v>4</v>
      </c>
      <c r="D7" s="2">
        <v>8.99</v>
      </c>
      <c r="E7" t="s">
        <v>42</v>
      </c>
      <c r="F7" s="5">
        <f t="shared" si="0"/>
        <v>35.96</v>
      </c>
      <c r="G7">
        <f t="shared" si="1"/>
        <v>0</v>
      </c>
      <c r="H7">
        <f t="shared" si="2"/>
        <v>0</v>
      </c>
    </row>
    <row r="8" spans="1:8" x14ac:dyDescent="0.25">
      <c r="A8" s="7">
        <v>46033</v>
      </c>
      <c r="B8" t="s">
        <v>12</v>
      </c>
      <c r="C8" s="3">
        <v>2</v>
      </c>
      <c r="D8" s="2">
        <v>4.99</v>
      </c>
      <c r="E8" t="s">
        <v>64</v>
      </c>
      <c r="F8" s="5">
        <f t="shared" si="0"/>
        <v>9.98</v>
      </c>
      <c r="G8">
        <f t="shared" si="1"/>
        <v>1</v>
      </c>
      <c r="H8">
        <f t="shared" si="2"/>
        <v>9.98</v>
      </c>
    </row>
    <row r="9" spans="1:8" x14ac:dyDescent="0.25">
      <c r="A9" s="7">
        <v>46033</v>
      </c>
      <c r="B9" t="s">
        <v>19</v>
      </c>
      <c r="C9" s="3">
        <v>3</v>
      </c>
      <c r="D9" s="2">
        <v>7.99</v>
      </c>
      <c r="E9" t="s">
        <v>64</v>
      </c>
      <c r="F9" s="5">
        <f t="shared" si="0"/>
        <v>23.97</v>
      </c>
      <c r="G9">
        <f t="shared" si="1"/>
        <v>1</v>
      </c>
      <c r="H9">
        <f t="shared" si="2"/>
        <v>23.97</v>
      </c>
    </row>
    <row r="10" spans="1:8" x14ac:dyDescent="0.25">
      <c r="A10" s="7">
        <v>46033</v>
      </c>
      <c r="B10" t="s">
        <v>22</v>
      </c>
      <c r="C10" s="3">
        <v>1</v>
      </c>
      <c r="D10" s="2">
        <v>6</v>
      </c>
      <c r="E10" t="s">
        <v>42</v>
      </c>
      <c r="F10" s="5">
        <f t="shared" si="0"/>
        <v>6</v>
      </c>
      <c r="G10">
        <f t="shared" si="1"/>
        <v>0</v>
      </c>
      <c r="H10">
        <f t="shared" si="2"/>
        <v>0</v>
      </c>
    </row>
    <row r="11" spans="1:8" x14ac:dyDescent="0.25">
      <c r="A11" s="7">
        <v>46033</v>
      </c>
      <c r="B11" t="s">
        <v>63</v>
      </c>
      <c r="C11" s="3">
        <v>3</v>
      </c>
      <c r="D11" s="2">
        <v>8.99</v>
      </c>
      <c r="E11" t="s">
        <v>42</v>
      </c>
      <c r="F11" s="5">
        <f t="shared" si="0"/>
        <v>26.97</v>
      </c>
      <c r="G11">
        <f t="shared" si="1"/>
        <v>0</v>
      </c>
      <c r="H11">
        <f t="shared" si="2"/>
        <v>0</v>
      </c>
    </row>
    <row r="12" spans="1:8" x14ac:dyDescent="0.25">
      <c r="A12" s="7">
        <v>46033</v>
      </c>
      <c r="B12" t="s">
        <v>61</v>
      </c>
      <c r="C12" s="3">
        <v>4</v>
      </c>
      <c r="D12" s="2">
        <v>8.99</v>
      </c>
      <c r="E12" t="s">
        <v>42</v>
      </c>
      <c r="F12" s="5">
        <f t="shared" si="0"/>
        <v>35.96</v>
      </c>
      <c r="G12">
        <f t="shared" si="1"/>
        <v>0</v>
      </c>
      <c r="H12">
        <f t="shared" si="2"/>
        <v>0</v>
      </c>
    </row>
    <row r="13" spans="1:8" x14ac:dyDescent="0.25">
      <c r="A13" s="7">
        <v>46040</v>
      </c>
      <c r="B13" t="s">
        <v>62</v>
      </c>
      <c r="C13" s="3">
        <v>3</v>
      </c>
      <c r="D13" s="2">
        <v>8.99</v>
      </c>
      <c r="E13" t="s">
        <v>42</v>
      </c>
      <c r="F13" s="5">
        <f t="shared" si="0"/>
        <v>26.97</v>
      </c>
      <c r="G13">
        <f t="shared" si="1"/>
        <v>0</v>
      </c>
      <c r="H13">
        <f t="shared" si="2"/>
        <v>0</v>
      </c>
    </row>
    <row r="14" spans="1:8" x14ac:dyDescent="0.25">
      <c r="A14" s="7">
        <v>46040</v>
      </c>
      <c r="B14" t="s">
        <v>12</v>
      </c>
      <c r="C14" s="3">
        <v>4</v>
      </c>
      <c r="D14" s="2">
        <v>4.99</v>
      </c>
      <c r="E14" t="s">
        <v>42</v>
      </c>
      <c r="F14" s="5">
        <f t="shared" si="0"/>
        <v>19.96</v>
      </c>
      <c r="G14">
        <f t="shared" si="1"/>
        <v>0</v>
      </c>
      <c r="H14">
        <f t="shared" si="2"/>
        <v>0</v>
      </c>
    </row>
    <row r="15" spans="1:8" x14ac:dyDescent="0.25">
      <c r="A15" s="7">
        <v>46040</v>
      </c>
      <c r="B15" t="s">
        <v>19</v>
      </c>
      <c r="C15" s="3">
        <v>3</v>
      </c>
      <c r="D15" s="2">
        <v>7.99</v>
      </c>
      <c r="E15" t="s">
        <v>42</v>
      </c>
      <c r="F15" s="5">
        <f t="shared" si="0"/>
        <v>23.97</v>
      </c>
      <c r="G15">
        <f t="shared" si="1"/>
        <v>0</v>
      </c>
      <c r="H15">
        <f t="shared" si="2"/>
        <v>0</v>
      </c>
    </row>
    <row r="16" spans="1:8" x14ac:dyDescent="0.25">
      <c r="A16" s="7">
        <v>46040</v>
      </c>
      <c r="B16" t="s">
        <v>22</v>
      </c>
      <c r="C16" s="3">
        <v>2</v>
      </c>
      <c r="D16" s="2">
        <v>6</v>
      </c>
      <c r="E16" t="s">
        <v>42</v>
      </c>
      <c r="F16" s="5">
        <f t="shared" si="0"/>
        <v>12</v>
      </c>
      <c r="G16">
        <f t="shared" si="1"/>
        <v>0</v>
      </c>
      <c r="H16">
        <f t="shared" si="2"/>
        <v>0</v>
      </c>
    </row>
    <row r="17" spans="1:8" x14ac:dyDescent="0.25">
      <c r="A17" s="7">
        <v>46040</v>
      </c>
      <c r="B17" t="s">
        <v>63</v>
      </c>
      <c r="C17" s="3">
        <v>3</v>
      </c>
      <c r="D17" s="2">
        <v>8.99</v>
      </c>
      <c r="E17" t="s">
        <v>64</v>
      </c>
      <c r="F17" s="5">
        <f t="shared" si="0"/>
        <v>26.97</v>
      </c>
      <c r="G17">
        <f t="shared" si="1"/>
        <v>1</v>
      </c>
      <c r="H17">
        <f t="shared" si="2"/>
        <v>26.97</v>
      </c>
    </row>
    <row r="18" spans="1:8" x14ac:dyDescent="0.25">
      <c r="A18" s="7">
        <v>46040</v>
      </c>
      <c r="B18" t="s">
        <v>61</v>
      </c>
      <c r="C18" s="3">
        <v>2</v>
      </c>
      <c r="D18" s="2">
        <v>8.99</v>
      </c>
      <c r="E18" t="s">
        <v>42</v>
      </c>
      <c r="F18" s="5">
        <f t="shared" si="0"/>
        <v>17.98</v>
      </c>
      <c r="G18">
        <f t="shared" si="1"/>
        <v>0</v>
      </c>
      <c r="H18">
        <f t="shared" si="2"/>
        <v>0</v>
      </c>
    </row>
    <row r="19" spans="1:8" x14ac:dyDescent="0.25">
      <c r="A19" s="7">
        <v>46047</v>
      </c>
      <c r="B19" t="s">
        <v>62</v>
      </c>
      <c r="C19" s="3">
        <v>3</v>
      </c>
      <c r="D19" s="2">
        <v>8.99</v>
      </c>
      <c r="E19" t="s">
        <v>64</v>
      </c>
      <c r="F19" s="5">
        <f t="shared" si="0"/>
        <v>26.97</v>
      </c>
      <c r="G19">
        <f t="shared" si="1"/>
        <v>1</v>
      </c>
      <c r="H19">
        <f t="shared" si="2"/>
        <v>26.97</v>
      </c>
    </row>
    <row r="20" spans="1:8" x14ac:dyDescent="0.25">
      <c r="A20" s="7">
        <v>46047</v>
      </c>
      <c r="B20" t="s">
        <v>19</v>
      </c>
      <c r="C20" s="3">
        <v>3</v>
      </c>
      <c r="D20" s="2">
        <v>7.99</v>
      </c>
      <c r="E20" t="s">
        <v>42</v>
      </c>
      <c r="F20" s="5">
        <f t="shared" si="0"/>
        <v>23.97</v>
      </c>
      <c r="G20">
        <f t="shared" si="1"/>
        <v>0</v>
      </c>
      <c r="H20">
        <f t="shared" si="2"/>
        <v>0</v>
      </c>
    </row>
    <row r="21" spans="1:8" x14ac:dyDescent="0.25">
      <c r="A21" s="7">
        <v>46047</v>
      </c>
      <c r="B21" t="s">
        <v>22</v>
      </c>
      <c r="C21" s="3">
        <v>2</v>
      </c>
      <c r="D21" s="2">
        <v>6</v>
      </c>
      <c r="E21" t="s">
        <v>42</v>
      </c>
      <c r="F21" s="5">
        <f t="shared" si="0"/>
        <v>12</v>
      </c>
      <c r="G21">
        <f t="shared" si="1"/>
        <v>0</v>
      </c>
      <c r="H21">
        <f t="shared" si="2"/>
        <v>0</v>
      </c>
    </row>
    <row r="22" spans="1:8" x14ac:dyDescent="0.25">
      <c r="A22" s="7">
        <v>46047</v>
      </c>
      <c r="B22" t="s">
        <v>63</v>
      </c>
      <c r="C22" s="3">
        <v>2</v>
      </c>
      <c r="D22" s="2">
        <v>8.99</v>
      </c>
      <c r="E22" t="s">
        <v>42</v>
      </c>
      <c r="F22" s="5">
        <f t="shared" si="0"/>
        <v>17.98</v>
      </c>
      <c r="G22">
        <f t="shared" si="1"/>
        <v>0</v>
      </c>
      <c r="H22">
        <f t="shared" si="2"/>
        <v>0</v>
      </c>
    </row>
    <row r="23" spans="1:8" x14ac:dyDescent="0.25">
      <c r="A23" s="7">
        <v>46047</v>
      </c>
      <c r="B23" t="s">
        <v>61</v>
      </c>
      <c r="C23" s="3">
        <v>3</v>
      </c>
      <c r="D23" s="2">
        <v>8.99</v>
      </c>
      <c r="E23" t="s">
        <v>42</v>
      </c>
      <c r="F23" s="5">
        <f t="shared" si="0"/>
        <v>26.97</v>
      </c>
      <c r="G23">
        <f t="shared" si="1"/>
        <v>0</v>
      </c>
      <c r="H23">
        <f t="shared" si="2"/>
        <v>0</v>
      </c>
    </row>
    <row r="24" spans="1:8" x14ac:dyDescent="0.25">
      <c r="A24" s="7">
        <v>46054</v>
      </c>
      <c r="B24" t="s">
        <v>62</v>
      </c>
      <c r="C24" s="3">
        <v>1</v>
      </c>
      <c r="D24" s="2">
        <v>8.99</v>
      </c>
      <c r="E24" t="s">
        <v>42</v>
      </c>
      <c r="F24" s="5">
        <f t="shared" si="0"/>
        <v>8.99</v>
      </c>
      <c r="G24">
        <f t="shared" si="1"/>
        <v>0</v>
      </c>
      <c r="H24">
        <f t="shared" si="2"/>
        <v>0</v>
      </c>
    </row>
    <row r="25" spans="1:8" x14ac:dyDescent="0.25">
      <c r="A25" s="7">
        <v>46054</v>
      </c>
      <c r="B25" t="s">
        <v>12</v>
      </c>
      <c r="C25" s="3">
        <v>5</v>
      </c>
      <c r="D25" s="2">
        <v>4.99</v>
      </c>
      <c r="E25" t="s">
        <v>42</v>
      </c>
      <c r="F25" s="5">
        <f t="shared" si="0"/>
        <v>24.950000000000003</v>
      </c>
      <c r="G25">
        <f t="shared" si="1"/>
        <v>0</v>
      </c>
      <c r="H25">
        <f t="shared" si="2"/>
        <v>0</v>
      </c>
    </row>
    <row r="26" spans="1:8" x14ac:dyDescent="0.25">
      <c r="A26" s="7">
        <v>46054</v>
      </c>
      <c r="B26" t="s">
        <v>19</v>
      </c>
      <c r="C26" s="3">
        <v>2</v>
      </c>
      <c r="D26" s="2">
        <v>7.99</v>
      </c>
      <c r="E26" t="s">
        <v>42</v>
      </c>
      <c r="F26" s="5">
        <f t="shared" si="0"/>
        <v>15.98</v>
      </c>
      <c r="G26">
        <f t="shared" si="1"/>
        <v>0</v>
      </c>
      <c r="H26">
        <f t="shared" si="2"/>
        <v>0</v>
      </c>
    </row>
    <row r="27" spans="1:8" x14ac:dyDescent="0.25">
      <c r="A27" s="7">
        <v>46054</v>
      </c>
      <c r="B27" t="s">
        <v>22</v>
      </c>
      <c r="C27" s="3">
        <v>3</v>
      </c>
      <c r="D27" s="2">
        <v>6</v>
      </c>
      <c r="E27" t="s">
        <v>42</v>
      </c>
      <c r="F27" s="5">
        <f t="shared" si="0"/>
        <v>18</v>
      </c>
      <c r="G27">
        <f t="shared" si="1"/>
        <v>0</v>
      </c>
      <c r="H27">
        <f t="shared" si="2"/>
        <v>0</v>
      </c>
    </row>
    <row r="28" spans="1:8" x14ac:dyDescent="0.25">
      <c r="A28" s="7">
        <v>46054</v>
      </c>
      <c r="B28" t="s">
        <v>63</v>
      </c>
      <c r="C28" s="3">
        <v>2</v>
      </c>
      <c r="D28" s="2">
        <v>8.99</v>
      </c>
      <c r="E28" t="s">
        <v>42</v>
      </c>
      <c r="F28" s="5">
        <f t="shared" si="0"/>
        <v>17.98</v>
      </c>
      <c r="G28">
        <f t="shared" si="1"/>
        <v>0</v>
      </c>
      <c r="H28">
        <f t="shared" si="2"/>
        <v>0</v>
      </c>
    </row>
    <row r="29" spans="1:8" x14ac:dyDescent="0.25">
      <c r="A29" s="7">
        <v>46054</v>
      </c>
      <c r="B29" t="s">
        <v>61</v>
      </c>
      <c r="C29" s="3">
        <v>4</v>
      </c>
      <c r="D29" s="2">
        <v>8.99</v>
      </c>
      <c r="E29" t="s">
        <v>42</v>
      </c>
      <c r="F29" s="5">
        <f t="shared" si="0"/>
        <v>35.96</v>
      </c>
      <c r="G29">
        <f t="shared" si="1"/>
        <v>0</v>
      </c>
      <c r="H29">
        <f t="shared" si="2"/>
        <v>0</v>
      </c>
    </row>
    <row r="30" spans="1:8" x14ac:dyDescent="0.25">
      <c r="A30" s="7">
        <v>46061</v>
      </c>
      <c r="B30" t="s">
        <v>12</v>
      </c>
      <c r="C30" s="3">
        <v>1</v>
      </c>
      <c r="D30" s="2">
        <v>4.99</v>
      </c>
      <c r="E30" t="s">
        <v>64</v>
      </c>
      <c r="F30" s="5">
        <f t="shared" si="0"/>
        <v>4.99</v>
      </c>
      <c r="G30">
        <f t="shared" si="1"/>
        <v>1</v>
      </c>
      <c r="H30">
        <f t="shared" si="2"/>
        <v>4.99</v>
      </c>
    </row>
    <row r="31" spans="1:8" x14ac:dyDescent="0.25">
      <c r="A31" s="7">
        <v>46061</v>
      </c>
      <c r="B31" t="s">
        <v>19</v>
      </c>
      <c r="C31" s="3">
        <v>2</v>
      </c>
      <c r="D31" s="2">
        <v>7.99</v>
      </c>
      <c r="E31" t="s">
        <v>64</v>
      </c>
      <c r="F31" s="5">
        <f t="shared" si="0"/>
        <v>15.98</v>
      </c>
      <c r="G31">
        <f t="shared" si="1"/>
        <v>1</v>
      </c>
      <c r="H31">
        <f t="shared" si="2"/>
        <v>15.98</v>
      </c>
    </row>
    <row r="32" spans="1:8" x14ac:dyDescent="0.25">
      <c r="A32" s="7">
        <v>46061</v>
      </c>
      <c r="B32" t="s">
        <v>22</v>
      </c>
      <c r="C32" s="3">
        <v>1</v>
      </c>
      <c r="D32" s="2">
        <v>6</v>
      </c>
      <c r="E32" t="s">
        <v>42</v>
      </c>
      <c r="F32" s="5">
        <f t="shared" si="0"/>
        <v>6</v>
      </c>
      <c r="G32">
        <f t="shared" si="1"/>
        <v>0</v>
      </c>
      <c r="H32">
        <f t="shared" si="2"/>
        <v>0</v>
      </c>
    </row>
    <row r="33" spans="1:8" x14ac:dyDescent="0.25">
      <c r="A33" s="7">
        <v>46061</v>
      </c>
      <c r="B33" t="s">
        <v>63</v>
      </c>
      <c r="C33" s="3">
        <v>3</v>
      </c>
      <c r="D33" s="2">
        <v>8.99</v>
      </c>
      <c r="E33" t="s">
        <v>42</v>
      </c>
      <c r="F33" s="5">
        <f t="shared" si="0"/>
        <v>26.97</v>
      </c>
      <c r="G33">
        <f t="shared" si="1"/>
        <v>0</v>
      </c>
      <c r="H33">
        <f t="shared" si="2"/>
        <v>0</v>
      </c>
    </row>
    <row r="34" spans="1:8" x14ac:dyDescent="0.25">
      <c r="A34" s="7">
        <v>46061</v>
      </c>
      <c r="B34" t="s">
        <v>61</v>
      </c>
      <c r="C34" s="3">
        <v>2</v>
      </c>
      <c r="D34" s="2">
        <v>8.99</v>
      </c>
      <c r="E34" t="s">
        <v>42</v>
      </c>
      <c r="F34" s="5">
        <f t="shared" si="0"/>
        <v>17.98</v>
      </c>
      <c r="G34">
        <f t="shared" si="1"/>
        <v>0</v>
      </c>
      <c r="H34">
        <f t="shared" si="2"/>
        <v>0</v>
      </c>
    </row>
    <row r="35" spans="1:8" x14ac:dyDescent="0.25">
      <c r="A35" s="7">
        <v>46068</v>
      </c>
      <c r="B35" t="s">
        <v>19</v>
      </c>
      <c r="C35" s="3">
        <v>1</v>
      </c>
      <c r="D35">
        <v>7.99</v>
      </c>
      <c r="E35" t="s">
        <v>42</v>
      </c>
      <c r="F35" s="5">
        <f>C35*D35</f>
        <v>7.99</v>
      </c>
      <c r="G35">
        <f t="shared" si="1"/>
        <v>0</v>
      </c>
      <c r="H35">
        <f t="shared" si="2"/>
        <v>0</v>
      </c>
    </row>
    <row r="36" spans="1:8" x14ac:dyDescent="0.25">
      <c r="A36" s="7">
        <v>46075</v>
      </c>
      <c r="B36" t="s">
        <v>62</v>
      </c>
      <c r="C36" s="3">
        <v>1</v>
      </c>
      <c r="D36">
        <v>8.99</v>
      </c>
      <c r="E36" t="s">
        <v>42</v>
      </c>
      <c r="F36" s="5">
        <f t="shared" si="0"/>
        <v>8.99</v>
      </c>
      <c r="G36">
        <f t="shared" si="1"/>
        <v>0</v>
      </c>
      <c r="H36">
        <f t="shared" si="2"/>
        <v>0</v>
      </c>
    </row>
    <row r="37" spans="1:8" x14ac:dyDescent="0.25">
      <c r="A37" s="7">
        <v>46075</v>
      </c>
      <c r="B37" t="s">
        <v>12</v>
      </c>
      <c r="C37" s="3">
        <v>5</v>
      </c>
      <c r="D37">
        <v>4.99</v>
      </c>
      <c r="E37" t="s">
        <v>42</v>
      </c>
      <c r="F37" s="5">
        <f t="shared" si="0"/>
        <v>24.950000000000003</v>
      </c>
      <c r="G37">
        <f t="shared" si="1"/>
        <v>0</v>
      </c>
      <c r="H37">
        <f t="shared" si="2"/>
        <v>0</v>
      </c>
    </row>
    <row r="38" spans="1:8" x14ac:dyDescent="0.25">
      <c r="A38" s="7">
        <v>46075</v>
      </c>
      <c r="B38" t="s">
        <v>19</v>
      </c>
      <c r="C38" s="3">
        <v>2</v>
      </c>
      <c r="D38">
        <v>7.99</v>
      </c>
      <c r="E38" t="s">
        <v>42</v>
      </c>
      <c r="F38" s="5">
        <f t="shared" si="0"/>
        <v>15.98</v>
      </c>
      <c r="G38">
        <f t="shared" si="1"/>
        <v>0</v>
      </c>
      <c r="H38">
        <f t="shared" si="2"/>
        <v>0</v>
      </c>
    </row>
    <row r="39" spans="1:8" x14ac:dyDescent="0.25">
      <c r="A39" s="7">
        <v>46075</v>
      </c>
      <c r="B39" t="s">
        <v>22</v>
      </c>
      <c r="C39" s="3">
        <v>2</v>
      </c>
      <c r="D39" s="2">
        <v>6</v>
      </c>
      <c r="E39" t="s">
        <v>42</v>
      </c>
      <c r="F39" s="5">
        <f t="shared" si="0"/>
        <v>12</v>
      </c>
      <c r="G39">
        <f t="shared" si="1"/>
        <v>0</v>
      </c>
      <c r="H39">
        <f t="shared" si="2"/>
        <v>0</v>
      </c>
    </row>
    <row r="40" spans="1:8" x14ac:dyDescent="0.25">
      <c r="A40" s="7">
        <v>46075</v>
      </c>
      <c r="B40" t="s">
        <v>63</v>
      </c>
      <c r="C40" s="3">
        <v>3</v>
      </c>
      <c r="D40">
        <v>8.99</v>
      </c>
      <c r="E40" t="s">
        <v>42</v>
      </c>
      <c r="F40" s="5">
        <f t="shared" si="0"/>
        <v>26.97</v>
      </c>
      <c r="G40">
        <f t="shared" si="1"/>
        <v>0</v>
      </c>
      <c r="H40">
        <f t="shared" si="2"/>
        <v>0</v>
      </c>
    </row>
    <row r="41" spans="1:8" x14ac:dyDescent="0.25">
      <c r="A41" s="7">
        <v>46075</v>
      </c>
      <c r="B41" t="s">
        <v>61</v>
      </c>
      <c r="C41" s="3">
        <v>2</v>
      </c>
      <c r="D41">
        <v>8.99</v>
      </c>
      <c r="E41" t="s">
        <v>64</v>
      </c>
      <c r="F41" s="5">
        <f t="shared" si="0"/>
        <v>17.98</v>
      </c>
      <c r="G41">
        <f t="shared" si="1"/>
        <v>1</v>
      </c>
      <c r="H41">
        <f t="shared" si="2"/>
        <v>17.98</v>
      </c>
    </row>
    <row r="42" spans="1:8" x14ac:dyDescent="0.25">
      <c r="A42" s="7">
        <v>46082</v>
      </c>
      <c r="B42" t="s">
        <v>22</v>
      </c>
      <c r="C42" s="3">
        <v>2</v>
      </c>
      <c r="D42" s="2">
        <v>6</v>
      </c>
      <c r="E42" t="s">
        <v>64</v>
      </c>
      <c r="F42" s="5">
        <f t="shared" si="0"/>
        <v>12</v>
      </c>
      <c r="G42">
        <f t="shared" si="1"/>
        <v>1</v>
      </c>
      <c r="H42">
        <f t="shared" si="2"/>
        <v>12</v>
      </c>
    </row>
    <row r="43" spans="1:8" x14ac:dyDescent="0.25">
      <c r="A43" s="7">
        <v>46082</v>
      </c>
      <c r="B43" t="s">
        <v>63</v>
      </c>
      <c r="C43" s="3">
        <v>1</v>
      </c>
      <c r="D43">
        <v>8.99</v>
      </c>
      <c r="E43" t="s">
        <v>42</v>
      </c>
      <c r="F43" s="5">
        <f t="shared" si="0"/>
        <v>8.99</v>
      </c>
      <c r="G43">
        <f t="shared" si="1"/>
        <v>0</v>
      </c>
      <c r="H43">
        <f t="shared" si="2"/>
        <v>0</v>
      </c>
    </row>
    <row r="44" spans="1:8" x14ac:dyDescent="0.25">
      <c r="A44" s="7">
        <v>46082</v>
      </c>
      <c r="B44" t="s">
        <v>61</v>
      </c>
      <c r="C44" s="3">
        <v>1</v>
      </c>
      <c r="D44">
        <v>8.99</v>
      </c>
      <c r="E44" t="s">
        <v>42</v>
      </c>
      <c r="F44" s="5">
        <f t="shared" si="0"/>
        <v>8.99</v>
      </c>
      <c r="G44">
        <f t="shared" si="1"/>
        <v>0</v>
      </c>
      <c r="H44">
        <f t="shared" si="2"/>
        <v>0</v>
      </c>
    </row>
    <row r="45" spans="1:8" x14ac:dyDescent="0.25">
      <c r="A45" s="7">
        <v>46096</v>
      </c>
      <c r="B45" t="s">
        <v>62</v>
      </c>
      <c r="C45" s="3">
        <v>3</v>
      </c>
      <c r="D45">
        <v>8.99</v>
      </c>
      <c r="E45" t="s">
        <v>42</v>
      </c>
      <c r="F45" s="5">
        <f t="shared" si="0"/>
        <v>26.97</v>
      </c>
      <c r="G45">
        <f t="shared" si="1"/>
        <v>0</v>
      </c>
      <c r="H45">
        <f t="shared" si="2"/>
        <v>0</v>
      </c>
    </row>
    <row r="46" spans="1:8" x14ac:dyDescent="0.25">
      <c r="A46" s="7">
        <v>46096</v>
      </c>
      <c r="B46" t="s">
        <v>12</v>
      </c>
      <c r="C46" s="3">
        <v>2</v>
      </c>
      <c r="D46">
        <v>4.99</v>
      </c>
      <c r="E46" t="s">
        <v>64</v>
      </c>
      <c r="F46" s="5">
        <f t="shared" si="0"/>
        <v>9.98</v>
      </c>
      <c r="G46">
        <f t="shared" si="1"/>
        <v>1</v>
      </c>
      <c r="H46">
        <f t="shared" si="2"/>
        <v>9.98</v>
      </c>
    </row>
    <row r="47" spans="1:8" x14ac:dyDescent="0.25">
      <c r="A47" s="7">
        <v>46096</v>
      </c>
      <c r="B47" t="s">
        <v>19</v>
      </c>
      <c r="C47" s="3">
        <v>3</v>
      </c>
      <c r="D47">
        <v>7.99</v>
      </c>
      <c r="E47" t="s">
        <v>42</v>
      </c>
      <c r="F47" s="5">
        <f t="shared" si="0"/>
        <v>23.97</v>
      </c>
      <c r="G47">
        <f t="shared" si="1"/>
        <v>0</v>
      </c>
      <c r="H47">
        <f t="shared" si="2"/>
        <v>0</v>
      </c>
    </row>
    <row r="48" spans="1:8" x14ac:dyDescent="0.25">
      <c r="A48" s="7">
        <v>46096</v>
      </c>
      <c r="B48" t="s">
        <v>22</v>
      </c>
      <c r="C48" s="3">
        <v>2</v>
      </c>
      <c r="D48" s="2">
        <v>6</v>
      </c>
      <c r="E48" t="s">
        <v>42</v>
      </c>
      <c r="F48" s="5">
        <f t="shared" si="0"/>
        <v>12</v>
      </c>
      <c r="G48">
        <f t="shared" si="1"/>
        <v>0</v>
      </c>
      <c r="H48">
        <f t="shared" si="2"/>
        <v>0</v>
      </c>
    </row>
    <row r="49" spans="1:8" x14ac:dyDescent="0.25">
      <c r="A49" s="7">
        <v>46096</v>
      </c>
      <c r="B49" t="s">
        <v>63</v>
      </c>
      <c r="C49" s="3">
        <v>1</v>
      </c>
      <c r="D49">
        <v>8.99</v>
      </c>
      <c r="E49" t="s">
        <v>42</v>
      </c>
      <c r="F49" s="5">
        <f t="shared" si="0"/>
        <v>8.99</v>
      </c>
      <c r="G49">
        <f t="shared" si="1"/>
        <v>0</v>
      </c>
      <c r="H49">
        <f t="shared" si="2"/>
        <v>0</v>
      </c>
    </row>
    <row r="50" spans="1:8" s="9" customFormat="1" x14ac:dyDescent="0.25">
      <c r="A50" s="8">
        <v>46096</v>
      </c>
      <c r="B50" s="9" t="s">
        <v>61</v>
      </c>
      <c r="C50" s="9">
        <v>1</v>
      </c>
      <c r="D50" s="9">
        <v>8.99</v>
      </c>
      <c r="E50" s="9" t="s">
        <v>42</v>
      </c>
      <c r="F50" s="5">
        <f t="shared" si="0"/>
        <v>8.99</v>
      </c>
      <c r="G50">
        <f t="shared" si="1"/>
        <v>0</v>
      </c>
      <c r="H50">
        <f t="shared" si="2"/>
        <v>0</v>
      </c>
    </row>
    <row r="51" spans="1:8" x14ac:dyDescent="0.25">
      <c r="A51" s="7">
        <v>46103</v>
      </c>
      <c r="B51" t="s">
        <v>62</v>
      </c>
      <c r="C51" s="3">
        <v>2</v>
      </c>
      <c r="D51">
        <v>8.99</v>
      </c>
      <c r="E51" t="s">
        <v>64</v>
      </c>
      <c r="F51" s="5">
        <f t="shared" si="0"/>
        <v>17.98</v>
      </c>
      <c r="G51">
        <f t="shared" si="1"/>
        <v>1</v>
      </c>
      <c r="H51">
        <f t="shared" si="2"/>
        <v>17.98</v>
      </c>
    </row>
    <row r="52" spans="1:8" x14ac:dyDescent="0.25">
      <c r="A52" s="7">
        <v>46103</v>
      </c>
      <c r="B52" t="s">
        <v>12</v>
      </c>
      <c r="C52" s="3">
        <v>2</v>
      </c>
      <c r="D52">
        <v>4.99</v>
      </c>
      <c r="E52" t="s">
        <v>64</v>
      </c>
      <c r="F52" s="5">
        <f t="shared" si="0"/>
        <v>9.98</v>
      </c>
      <c r="G52">
        <f t="shared" si="1"/>
        <v>1</v>
      </c>
      <c r="H52">
        <f t="shared" si="2"/>
        <v>9.98</v>
      </c>
    </row>
    <row r="53" spans="1:8" x14ac:dyDescent="0.25">
      <c r="A53" s="7">
        <v>46103</v>
      </c>
      <c r="B53" t="s">
        <v>19</v>
      </c>
      <c r="C53" s="3">
        <v>3</v>
      </c>
      <c r="D53">
        <v>7.99</v>
      </c>
      <c r="E53" t="s">
        <v>64</v>
      </c>
      <c r="F53" s="5">
        <f t="shared" si="0"/>
        <v>23.97</v>
      </c>
      <c r="G53">
        <f t="shared" si="1"/>
        <v>1</v>
      </c>
      <c r="H53">
        <f t="shared" si="2"/>
        <v>23.97</v>
      </c>
    </row>
    <row r="54" spans="1:8" x14ac:dyDescent="0.25">
      <c r="A54" s="7">
        <v>46103</v>
      </c>
      <c r="B54" t="s">
        <v>63</v>
      </c>
      <c r="C54">
        <v>3</v>
      </c>
      <c r="D54">
        <v>8.99</v>
      </c>
      <c r="E54" t="s">
        <v>64</v>
      </c>
      <c r="F54" s="5">
        <f t="shared" si="0"/>
        <v>26.97</v>
      </c>
      <c r="G54">
        <f t="shared" si="1"/>
        <v>1</v>
      </c>
      <c r="H54">
        <f t="shared" si="2"/>
        <v>26.97</v>
      </c>
    </row>
    <row r="55" spans="1:8" x14ac:dyDescent="0.25">
      <c r="A55" s="7">
        <v>46110</v>
      </c>
      <c r="B55" t="s">
        <v>62</v>
      </c>
      <c r="C55" s="3">
        <v>2</v>
      </c>
      <c r="D55">
        <v>8.99</v>
      </c>
      <c r="E55" t="s">
        <v>64</v>
      </c>
      <c r="F55" s="5">
        <f t="shared" si="0"/>
        <v>17.98</v>
      </c>
      <c r="G55">
        <f t="shared" si="1"/>
        <v>1</v>
      </c>
      <c r="H55">
        <f t="shared" si="2"/>
        <v>17.98</v>
      </c>
    </row>
    <row r="56" spans="1:8" x14ac:dyDescent="0.25">
      <c r="A56" s="7">
        <v>46110</v>
      </c>
      <c r="B56" t="s">
        <v>12</v>
      </c>
      <c r="C56" s="3">
        <v>2</v>
      </c>
      <c r="D56">
        <v>4.99</v>
      </c>
      <c r="E56" t="s">
        <v>64</v>
      </c>
      <c r="F56" s="5">
        <f t="shared" si="0"/>
        <v>9.98</v>
      </c>
      <c r="G56">
        <f t="shared" si="1"/>
        <v>1</v>
      </c>
      <c r="H56">
        <f t="shared" si="2"/>
        <v>9.98</v>
      </c>
    </row>
    <row r="57" spans="1:8" x14ac:dyDescent="0.25">
      <c r="A57" s="7">
        <v>46110</v>
      </c>
      <c r="B57" t="s">
        <v>19</v>
      </c>
      <c r="C57" s="3">
        <v>2</v>
      </c>
      <c r="D57">
        <v>7.99</v>
      </c>
      <c r="E57" t="s">
        <v>64</v>
      </c>
      <c r="F57" s="5">
        <f t="shared" si="0"/>
        <v>15.98</v>
      </c>
      <c r="G57">
        <f t="shared" si="1"/>
        <v>1</v>
      </c>
      <c r="H57">
        <f t="shared" si="2"/>
        <v>15.98</v>
      </c>
    </row>
    <row r="58" spans="1:8" x14ac:dyDescent="0.25">
      <c r="A58" s="7">
        <v>46110</v>
      </c>
      <c r="B58" t="s">
        <v>63</v>
      </c>
      <c r="C58">
        <v>2</v>
      </c>
      <c r="D58">
        <v>8.99</v>
      </c>
      <c r="E58" t="s">
        <v>64</v>
      </c>
      <c r="F58" s="5">
        <f t="shared" si="0"/>
        <v>17.98</v>
      </c>
      <c r="G58">
        <f t="shared" si="1"/>
        <v>1</v>
      </c>
      <c r="H58">
        <f t="shared" si="2"/>
        <v>17.98</v>
      </c>
    </row>
    <row r="59" spans="1:8" x14ac:dyDescent="0.25">
      <c r="A59" s="7">
        <v>46110</v>
      </c>
      <c r="B59" t="s">
        <v>61</v>
      </c>
      <c r="C59">
        <v>2</v>
      </c>
      <c r="D59">
        <v>8.99</v>
      </c>
      <c r="E59" t="s">
        <v>64</v>
      </c>
      <c r="F59" s="5">
        <f t="shared" si="0"/>
        <v>17.98</v>
      </c>
      <c r="G59">
        <f t="shared" si="1"/>
        <v>1</v>
      </c>
      <c r="H59">
        <f t="shared" si="2"/>
        <v>17.98</v>
      </c>
    </row>
    <row r="60" spans="1:8" x14ac:dyDescent="0.25">
      <c r="A60" s="7">
        <v>46117</v>
      </c>
      <c r="B60" t="s">
        <v>62</v>
      </c>
      <c r="C60" s="3">
        <v>5</v>
      </c>
      <c r="D60">
        <v>8.99</v>
      </c>
      <c r="E60" t="s">
        <v>64</v>
      </c>
      <c r="F60" s="5">
        <f t="shared" si="0"/>
        <v>44.95</v>
      </c>
      <c r="G60">
        <f t="shared" si="1"/>
        <v>1</v>
      </c>
      <c r="H60">
        <f t="shared" si="2"/>
        <v>44.95</v>
      </c>
    </row>
    <row r="61" spans="1:8" x14ac:dyDescent="0.25">
      <c r="A61" s="7">
        <v>46117</v>
      </c>
      <c r="B61" t="s">
        <v>12</v>
      </c>
      <c r="C61" s="3">
        <v>5</v>
      </c>
      <c r="D61">
        <v>4.99</v>
      </c>
      <c r="E61" t="s">
        <v>64</v>
      </c>
      <c r="F61" s="5">
        <f t="shared" si="0"/>
        <v>24.950000000000003</v>
      </c>
      <c r="G61">
        <f t="shared" si="1"/>
        <v>1</v>
      </c>
      <c r="H61">
        <f t="shared" si="2"/>
        <v>24.950000000000003</v>
      </c>
    </row>
    <row r="62" spans="1:8" x14ac:dyDescent="0.25">
      <c r="A62" s="7">
        <v>46117</v>
      </c>
      <c r="B62" t="s">
        <v>19</v>
      </c>
      <c r="C62" s="3">
        <v>4</v>
      </c>
      <c r="D62">
        <v>7.99</v>
      </c>
      <c r="E62" t="s">
        <v>64</v>
      </c>
      <c r="F62" s="5">
        <f t="shared" si="0"/>
        <v>31.96</v>
      </c>
      <c r="G62">
        <f t="shared" si="1"/>
        <v>1</v>
      </c>
      <c r="H62">
        <f t="shared" si="2"/>
        <v>31.96</v>
      </c>
    </row>
    <row r="63" spans="1:8" x14ac:dyDescent="0.25">
      <c r="A63" s="7">
        <v>46117</v>
      </c>
      <c r="B63" t="s">
        <v>61</v>
      </c>
      <c r="C63" s="3">
        <v>2</v>
      </c>
      <c r="D63">
        <v>8.99</v>
      </c>
      <c r="E63" t="s">
        <v>64</v>
      </c>
      <c r="F63" s="5">
        <f t="shared" si="0"/>
        <v>17.98</v>
      </c>
      <c r="G63">
        <f t="shared" si="1"/>
        <v>1</v>
      </c>
      <c r="H63">
        <f t="shared" si="2"/>
        <v>17.98</v>
      </c>
    </row>
    <row r="64" spans="1:8" x14ac:dyDescent="0.25">
      <c r="A64" s="7">
        <v>46124</v>
      </c>
      <c r="B64" t="s">
        <v>62</v>
      </c>
      <c r="C64" s="3">
        <v>2</v>
      </c>
      <c r="D64">
        <v>8.99</v>
      </c>
      <c r="E64" t="s">
        <v>64</v>
      </c>
      <c r="F64" s="5">
        <f t="shared" si="0"/>
        <v>17.98</v>
      </c>
      <c r="G64">
        <f t="shared" si="1"/>
        <v>1</v>
      </c>
      <c r="H64">
        <f t="shared" si="2"/>
        <v>17.98</v>
      </c>
    </row>
    <row r="65" spans="1:8" x14ac:dyDescent="0.25">
      <c r="A65" s="7">
        <v>46124</v>
      </c>
      <c r="B65" t="s">
        <v>12</v>
      </c>
      <c r="C65" s="3">
        <v>2</v>
      </c>
      <c r="D65" s="2">
        <v>4.99</v>
      </c>
      <c r="E65" t="s">
        <v>64</v>
      </c>
      <c r="F65" s="5">
        <f t="shared" si="0"/>
        <v>9.98</v>
      </c>
      <c r="G65">
        <f t="shared" si="1"/>
        <v>1</v>
      </c>
      <c r="H65">
        <f t="shared" si="2"/>
        <v>9.98</v>
      </c>
    </row>
    <row r="66" spans="1:8" x14ac:dyDescent="0.25">
      <c r="A66" s="7">
        <v>46124</v>
      </c>
      <c r="B66" t="s">
        <v>19</v>
      </c>
      <c r="C66" s="3">
        <v>3</v>
      </c>
      <c r="D66">
        <v>7.99</v>
      </c>
      <c r="E66" t="s">
        <v>64</v>
      </c>
      <c r="F66" s="5">
        <f t="shared" si="0"/>
        <v>23.97</v>
      </c>
      <c r="G66">
        <f t="shared" si="1"/>
        <v>1</v>
      </c>
      <c r="H66">
        <f t="shared" si="2"/>
        <v>23.97</v>
      </c>
    </row>
    <row r="67" spans="1:8" x14ac:dyDescent="0.25">
      <c r="A67" s="7">
        <v>46124</v>
      </c>
      <c r="B67" t="s">
        <v>63</v>
      </c>
      <c r="C67" s="3">
        <v>3</v>
      </c>
      <c r="D67" s="2">
        <v>8.99</v>
      </c>
      <c r="E67" t="s">
        <v>64</v>
      </c>
      <c r="F67" s="5">
        <f t="shared" si="0"/>
        <v>26.97</v>
      </c>
      <c r="G67">
        <f t="shared" ref="G67" si="3">IF(E67="leftover",0,1)</f>
        <v>1</v>
      </c>
      <c r="H67">
        <f t="shared" ref="H67" si="4">G67*F67</f>
        <v>26.97</v>
      </c>
    </row>
    <row r="73" spans="1:8" x14ac:dyDescent="0.25">
      <c r="D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recipes_bom</vt:lpstr>
      <vt:lpstr>subcomponents_bom</vt:lpstr>
      <vt:lpstr>inventory_snapshot</vt:lpstr>
      <vt:lpstr>purchases_log</vt:lpstr>
      <vt:lpstr>waste_log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Baghel</dc:creator>
  <cp:lastModifiedBy>HP</cp:lastModifiedBy>
  <dcterms:created xsi:type="dcterms:W3CDTF">2015-06-05T18:17:20Z</dcterms:created>
  <dcterms:modified xsi:type="dcterms:W3CDTF">2026-04-16T08:37:18Z</dcterms:modified>
</cp:coreProperties>
</file>